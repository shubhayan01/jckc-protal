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raisal Form" sheetId="1" r:id="rId4"/>
    <sheet state="visible" name="Rating Guide" sheetId="2" r:id="rId5"/>
  </sheets>
  <definedNames/>
  <calcPr/>
  <extLst>
    <ext uri="GoogleSheetsCustomDataVersion2">
      <go:sheetsCustomData xmlns:go="http://customooxmlschemas.google.com/" r:id="rId6" roundtripDataChecksum="gvdnIA5FRgMtBiT7UWYfILGQZL9m7N4zjN/IBJBGFqI="/>
    </ext>
  </extLst>
</workbook>
</file>

<file path=xl/sharedStrings.xml><?xml version="1.0" encoding="utf-8"?>
<sst xmlns="http://schemas.openxmlformats.org/spreadsheetml/2006/main" count="104" uniqueCount="82">
  <si>
    <t>🏢  ASSOCIATES PERFORMANCE APPRAISAL</t>
  </si>
  <si>
    <t>JUSTWORDS  ·  Annual / Mid-Year Review</t>
  </si>
  <si>
    <t>SECTION 1 — BASIC INFORMATION</t>
  </si>
  <si>
    <t>Employee Name</t>
  </si>
  <si>
    <t>Department</t>
  </si>
  <si>
    <t>Role / Designation</t>
  </si>
  <si>
    <t>Reporting Manager</t>
  </si>
  <si>
    <t>Review Period</t>
  </si>
  <si>
    <t>Date of Review</t>
  </si>
  <si>
    <t>SECTION 2 — KPI / RESULTS  (Weight: 40%)  ← Linked from KPI Tracker</t>
  </si>
  <si>
    <t>KPI</t>
  </si>
  <si>
    <t>Weight</t>
  </si>
  <si>
    <t>Rating (1–10)</t>
  </si>
  <si>
    <t>Weighted Score</t>
  </si>
  <si>
    <t>Comment</t>
  </si>
  <si>
    <t>KPI ACHIEVEMENT (From KPI sheet)</t>
  </si>
  <si>
    <t xml:space="preserve">TOTAL KPI SCORE </t>
  </si>
  <si>
    <t>SECTION 3 — SKILLS &amp; COMPETENCIES  (Weight: 20%)</t>
  </si>
  <si>
    <t>Factor</t>
  </si>
  <si>
    <t>Role-Specific Skills</t>
  </si>
  <si>
    <t>Problem Solving</t>
  </si>
  <si>
    <t>Technical Knowledge</t>
  </si>
  <si>
    <t>Leadership Skills</t>
  </si>
  <si>
    <t>TOTAL</t>
  </si>
  <si>
    <t>SECTION 4 — ATTITUDE &amp; BEHAVIOUR  (Weight: 15%)</t>
  </si>
  <si>
    <t>Accountability, Ownership &amp; Initiative</t>
  </si>
  <si>
    <t>Team Collaboration</t>
  </si>
  <si>
    <t>Communication</t>
  </si>
  <si>
    <t>SECTION 5 — CONSISTENCY  (Weight: 15%)</t>
  </si>
  <si>
    <t>Meeting Deadlines</t>
  </si>
  <si>
    <t>Daily Productivity</t>
  </si>
  <si>
    <t>Follow-through &amp; reliability</t>
  </si>
  <si>
    <t>SECTION 6 — ADDITIONAL VALUE  (Weight: 10%)</t>
  </si>
  <si>
    <t>Innovation &amp; New Ideas</t>
  </si>
  <si>
    <t>Process Improvement</t>
  </si>
  <si>
    <t>FINAL SCORE SUMMARY</t>
  </si>
  <si>
    <t>Raw Score (out of 10)</t>
  </si>
  <si>
    <t>Percentage Score (%)</t>
  </si>
  <si>
    <t>Performance Rating</t>
  </si>
  <si>
    <t>Salary Hike Recommendation</t>
  </si>
  <si>
    <t>MANAGER COMMENTS</t>
  </si>
  <si>
    <t>Key Strengths</t>
  </si>
  <si>
    <t>Areas for Improvement</t>
  </si>
  <si>
    <t>Development Plan / Action Items</t>
  </si>
  <si>
    <t>EMPLOYEE COMMENTS</t>
  </si>
  <si>
    <t>Employee Feedback / Self-Assessment</t>
  </si>
  <si>
    <t>Career Goals &amp; Aspirations</t>
  </si>
  <si>
    <t>SIGNATURES</t>
  </si>
  <si>
    <t>Manager Signature &amp; Date</t>
  </si>
  <si>
    <t>Employee Signature &amp; Date</t>
  </si>
  <si>
    <t>HR Approval &amp; Date</t>
  </si>
  <si>
    <t>RATING GUIDE — How to Score (1–10)</t>
  </si>
  <si>
    <t>Score</t>
  </si>
  <si>
    <t>Band</t>
  </si>
  <si>
    <t>Description</t>
  </si>
  <si>
    <t>9–10</t>
  </si>
  <si>
    <t>Exceptional</t>
  </si>
  <si>
    <t>Consistently exceeds all expectations; role model for peers</t>
  </si>
  <si>
    <t>7–8</t>
  </si>
  <si>
    <t>Above Average</t>
  </si>
  <si>
    <t>Regularly exceeds most expectations; strong contributor</t>
  </si>
  <si>
    <t>5–6</t>
  </si>
  <si>
    <t>Meets Standard</t>
  </si>
  <si>
    <t>Consistently meets expectations; reliable performance</t>
  </si>
  <si>
    <t>3–4</t>
  </si>
  <si>
    <t>Below Standard</t>
  </si>
  <si>
    <t>Partially meets expectations; improvement needed</t>
  </si>
  <si>
    <t>1–2</t>
  </si>
  <si>
    <t>Unsatisfactory</t>
  </si>
  <si>
    <t>Rarely meets expectations; significant performance gaps</t>
  </si>
  <si>
    <t>FINAL SCORE PERFORMANCE BANDS</t>
  </si>
  <si>
    <t>% Score</t>
  </si>
  <si>
    <t>Rating</t>
  </si>
  <si>
    <t>Hike Range</t>
  </si>
  <si>
    <t>85–100%</t>
  </si>
  <si>
    <t>⭐ Star Performer</t>
  </si>
  <si>
    <t>70–84%</t>
  </si>
  <si>
    <t>✅ Strong Performer</t>
  </si>
  <si>
    <t>55–69%</t>
  </si>
  <si>
    <t>📈 Developing</t>
  </si>
  <si>
    <t>Below 55%</t>
  </si>
  <si>
    <t>⚠️ At Risk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</si>
</sst>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8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10.0"/>
      <color rgb="FFFFFFFF"/>
      <name val="Arial"/>
    </font>
    <font>
      <b/>
      <sz val="11.0"/>
      <color rgb="FFFFFFFF"/>
      <name val="Arial"/>
    </font>
    <font>
      <sz val="10.0"/>
      <color rgb="FF000000"/>
      <name val="Arial"/>
    </font>
    <font>
      <sz val="10.0"/>
      <color rgb="FF00008B"/>
      <name val="Arial"/>
    </font>
    <font>
      <b/>
      <sz val="9.0"/>
      <color rgb="FFFFFFFF"/>
      <name val="Arial"/>
    </font>
    <font>
      <sz val="10.0"/>
      <color theme="1"/>
      <name val="Arial"/>
    </font>
    <font>
      <sz val="10.0"/>
      <color rgb="FF555555"/>
      <name val="Arial"/>
    </font>
    <font>
      <b/>
      <sz val="10.0"/>
      <color theme="1"/>
      <name val="Arial"/>
    </font>
    <font>
      <sz val="11.0"/>
      <color theme="1"/>
      <name val="Calibri"/>
    </font>
    <font>
      <b/>
      <sz val="11.0"/>
      <color theme="1"/>
      <name val="Arial"/>
    </font>
    <font>
      <b/>
      <sz val="13.0"/>
      <color rgb="FFFFFFFF"/>
      <name val="Arial"/>
    </font>
    <font>
      <b/>
      <sz val="13.0"/>
      <color rgb="FFF9E79F"/>
      <name val="Arial"/>
    </font>
    <font>
      <b/>
      <sz val="12.0"/>
      <color rgb="FFFFFFFF"/>
      <name val="Arial"/>
    </font>
    <font>
      <b/>
      <sz val="10.0"/>
      <color rgb="FF000000"/>
      <name val="Arial"/>
    </font>
    <font>
      <b/>
      <sz val="14.0"/>
      <color rgb="FFFFFFFF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1A252F"/>
        <bgColor rgb="FF1A252F"/>
      </patternFill>
    </fill>
    <fill>
      <patternFill patternType="solid">
        <fgColor rgb="FF2C3E50"/>
        <bgColor rgb="FF2C3E50"/>
      </patternFill>
    </fill>
    <fill>
      <patternFill patternType="solid">
        <fgColor rgb="FF1A5276"/>
        <bgColor rgb="FF1A5276"/>
      </patternFill>
    </fill>
    <fill>
      <patternFill patternType="solid">
        <fgColor rgb="FFD6E4F0"/>
        <bgColor rgb="FFD6E4F0"/>
      </patternFill>
    </fill>
    <fill>
      <patternFill patternType="solid">
        <fgColor rgb="FFEBF5FB"/>
        <bgColor rgb="FFEBF5FB"/>
      </patternFill>
    </fill>
    <fill>
      <patternFill patternType="solid">
        <fgColor rgb="FF154360"/>
        <bgColor rgb="FF154360"/>
      </patternFill>
    </fill>
    <fill>
      <patternFill patternType="solid">
        <fgColor rgb="FF2980B9"/>
        <bgColor rgb="FF2980B9"/>
      </patternFill>
    </fill>
    <fill>
      <patternFill patternType="solid">
        <fgColor rgb="FFEAFAF1"/>
        <bgColor rgb="FFEAFAF1"/>
      </patternFill>
    </fill>
    <fill>
      <patternFill patternType="solid">
        <fgColor rgb="FFFEF9E7"/>
        <bgColor rgb="FFFEF9E7"/>
      </patternFill>
    </fill>
    <fill>
      <patternFill patternType="solid">
        <fgColor rgb="FFFAFAFA"/>
        <bgColor rgb="FFFAFAFA"/>
      </patternFill>
    </fill>
    <fill>
      <patternFill patternType="solid">
        <fgColor rgb="FFAED6F1"/>
        <bgColor rgb="FFAED6F1"/>
      </patternFill>
    </fill>
    <fill>
      <patternFill patternType="solid">
        <fgColor rgb="FF117A65"/>
        <bgColor rgb="FF117A65"/>
      </patternFill>
    </fill>
    <fill>
      <patternFill patternType="solid">
        <fgColor rgb="FF784212"/>
        <bgColor rgb="FF784212"/>
      </patternFill>
    </fill>
    <fill>
      <patternFill patternType="solid">
        <fgColor rgb="FFFDFEFE"/>
        <bgColor rgb="FFFDFEFE"/>
      </patternFill>
    </fill>
    <fill>
      <patternFill patternType="solid">
        <fgColor rgb="FFE8F8F5"/>
        <bgColor rgb="FFE8F8F5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FADBD8"/>
        <bgColor rgb="FFFADBD8"/>
      </patternFill>
    </fill>
    <fill>
      <patternFill patternType="solid">
        <fgColor rgb="FFD6EAF8"/>
        <bgColor rgb="FFD6EAF8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4" fontId="4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5" fontId="5" numFmtId="0" xfId="0" applyAlignment="1" applyBorder="1" applyFill="1" applyFont="1">
      <alignment horizontal="left" shrinkToFit="0" vertical="center" wrapText="1"/>
    </xf>
    <xf borderId="4" fillId="6" fontId="6" numFmtId="0" xfId="0" applyAlignment="1" applyBorder="1" applyFill="1" applyFont="1">
      <alignment horizontal="left" vertical="center"/>
    </xf>
    <xf borderId="4" fillId="7" fontId="4" numFmtId="0" xfId="0" applyAlignment="1" applyBorder="1" applyFill="1" applyFont="1">
      <alignment horizontal="center" vertical="center"/>
    </xf>
    <xf borderId="7" fillId="8" fontId="7" numFmtId="0" xfId="0" applyAlignment="1" applyBorder="1" applyFill="1" applyFont="1">
      <alignment horizontal="center" shrinkToFit="0" vertical="center" wrapText="1"/>
    </xf>
    <xf borderId="7" fillId="9" fontId="8" numFmtId="9" xfId="0" applyAlignment="1" applyBorder="1" applyFill="1" applyFont="1" applyNumberFormat="1">
      <alignment horizontal="center" vertical="center"/>
    </xf>
    <xf borderId="7" fillId="10" fontId="6" numFmtId="0" xfId="0" applyAlignment="1" applyBorder="1" applyFill="1" applyFont="1">
      <alignment horizontal="center" vertical="center"/>
    </xf>
    <xf borderId="7" fillId="9" fontId="5" numFmtId="2" xfId="0" applyAlignment="1" applyBorder="1" applyFont="1" applyNumberFormat="1">
      <alignment horizontal="center" vertical="center"/>
    </xf>
    <xf borderId="7" fillId="11" fontId="9" numFmtId="0" xfId="0" applyAlignment="1" applyBorder="1" applyFill="1" applyFont="1">
      <alignment horizontal="left" shrinkToFit="0" vertical="center" wrapText="1"/>
    </xf>
    <xf borderId="7" fillId="12" fontId="10" numFmtId="0" xfId="0" applyAlignment="1" applyBorder="1" applyFill="1" applyFont="1">
      <alignment horizontal="left" shrinkToFit="0" vertical="center" wrapText="1"/>
    </xf>
    <xf borderId="7" fillId="12" fontId="11" numFmtId="0" xfId="0" applyBorder="1" applyFont="1"/>
    <xf borderId="7" fillId="9" fontId="12" numFmtId="2" xfId="0" applyAlignment="1" applyBorder="1" applyFont="1" applyNumberFormat="1">
      <alignment horizontal="center" vertical="center"/>
    </xf>
    <xf borderId="7" fillId="5" fontId="5" numFmtId="0" xfId="0" applyAlignment="1" applyBorder="1" applyFont="1">
      <alignment horizontal="left" readingOrder="0" shrinkToFit="0" vertical="center" wrapText="1"/>
    </xf>
    <xf borderId="4" fillId="2" fontId="13" numFmtId="0" xfId="0" applyAlignment="1" applyBorder="1" applyFont="1">
      <alignment horizontal="center" vertical="center"/>
    </xf>
    <xf borderId="7" fillId="3" fontId="4" numFmtId="0" xfId="0" applyAlignment="1" applyBorder="1" applyFont="1">
      <alignment horizontal="left" shrinkToFit="0" vertical="center" wrapText="1"/>
    </xf>
    <xf borderId="7" fillId="2" fontId="11" numFmtId="0" xfId="0" applyBorder="1" applyFont="1"/>
    <xf borderId="7" fillId="2" fontId="14" numFmtId="2" xfId="0" applyAlignment="1" applyBorder="1" applyFont="1" applyNumberFormat="1">
      <alignment horizontal="center" vertical="center"/>
    </xf>
    <xf borderId="7" fillId="2" fontId="14" numFmtId="164" xfId="0" applyAlignment="1" applyBorder="1" applyFont="1" applyNumberFormat="1">
      <alignment horizontal="center" vertical="center"/>
    </xf>
    <xf borderId="7" fillId="13" fontId="4" numFmtId="0" xfId="0" applyAlignment="1" applyBorder="1" applyFill="1" applyFont="1">
      <alignment horizontal="left" shrinkToFit="0" vertical="center" wrapText="1"/>
    </xf>
    <xf borderId="7" fillId="13" fontId="11" numFmtId="0" xfId="0" applyBorder="1" applyFont="1"/>
    <xf borderId="7" fillId="13" fontId="15" numFmtId="0" xfId="0" applyAlignment="1" applyBorder="1" applyFont="1">
      <alignment horizontal="center" vertical="center"/>
    </xf>
    <xf borderId="7" fillId="14" fontId="4" numFmtId="0" xfId="0" applyAlignment="1" applyBorder="1" applyFill="1" applyFont="1">
      <alignment horizontal="left" shrinkToFit="0" vertical="center" wrapText="1"/>
    </xf>
    <xf borderId="7" fillId="14" fontId="11" numFmtId="0" xfId="0" applyBorder="1" applyFont="1"/>
    <xf borderId="7" fillId="14" fontId="15" numFmtId="0" xfId="0" applyAlignment="1" applyBorder="1" applyFont="1">
      <alignment horizontal="center" vertical="center"/>
    </xf>
    <xf borderId="7" fillId="5" fontId="16" numFmtId="0" xfId="0" applyAlignment="1" applyBorder="1" applyFont="1">
      <alignment horizontal="left" shrinkToFit="0" vertical="center" wrapText="1"/>
    </xf>
    <xf borderId="4" fillId="6" fontId="6" numFmtId="0" xfId="0" applyAlignment="1" applyBorder="1" applyFont="1">
      <alignment horizontal="left" shrinkToFit="0" vertical="center" wrapText="1"/>
    </xf>
    <xf borderId="4" fillId="2" fontId="4" numFmtId="0" xfId="0" applyAlignment="1" applyBorder="1" applyFont="1">
      <alignment horizontal="center" vertical="center"/>
    </xf>
    <xf borderId="4" fillId="15" fontId="11" numFmtId="0" xfId="0" applyBorder="1" applyFill="1" applyFont="1"/>
    <xf borderId="1" fillId="2" fontId="17" numFmtId="0" xfId="0" applyAlignment="1" applyBorder="1" applyFont="1">
      <alignment horizontal="center" vertical="center"/>
    </xf>
    <xf borderId="7" fillId="16" fontId="8" numFmtId="0" xfId="0" applyAlignment="1" applyBorder="1" applyFill="1" applyFont="1">
      <alignment horizontal="center" shrinkToFit="0" vertical="center" wrapText="1"/>
    </xf>
    <xf borderId="7" fillId="16" fontId="10" numFmtId="0" xfId="0" applyAlignment="1" applyBorder="1" applyFont="1">
      <alignment horizontal="center" shrinkToFit="0" vertical="center" wrapText="1"/>
    </xf>
    <xf borderId="7" fillId="16" fontId="8" numFmtId="0" xfId="0" applyAlignment="1" applyBorder="1" applyFont="1">
      <alignment horizontal="left" shrinkToFit="0" vertical="center" wrapText="1"/>
    </xf>
    <xf borderId="7" fillId="17" fontId="8" numFmtId="0" xfId="0" applyAlignment="1" applyBorder="1" applyFill="1" applyFont="1">
      <alignment horizontal="center" shrinkToFit="0" vertical="center" wrapText="1"/>
    </xf>
    <xf borderId="7" fillId="17" fontId="10" numFmtId="0" xfId="0" applyAlignment="1" applyBorder="1" applyFont="1">
      <alignment horizontal="center" shrinkToFit="0" vertical="center" wrapText="1"/>
    </xf>
    <xf borderId="7" fillId="17" fontId="8" numFmtId="0" xfId="0" applyAlignment="1" applyBorder="1" applyFont="1">
      <alignment horizontal="left" shrinkToFit="0" vertical="center" wrapText="1"/>
    </xf>
    <xf borderId="7" fillId="10" fontId="8" numFmtId="0" xfId="0" applyAlignment="1" applyBorder="1" applyFont="1">
      <alignment horizontal="center" shrinkToFit="0" vertical="center" wrapText="1"/>
    </xf>
    <xf borderId="7" fillId="10" fontId="10" numFmtId="0" xfId="0" applyAlignment="1" applyBorder="1" applyFont="1">
      <alignment horizontal="center" shrinkToFit="0" vertical="center" wrapText="1"/>
    </xf>
    <xf borderId="7" fillId="10" fontId="8" numFmtId="0" xfId="0" applyAlignment="1" applyBorder="1" applyFont="1">
      <alignment horizontal="left" shrinkToFit="0" vertical="center" wrapText="1"/>
    </xf>
    <xf borderId="7" fillId="18" fontId="8" numFmtId="0" xfId="0" applyAlignment="1" applyBorder="1" applyFill="1" applyFont="1">
      <alignment horizontal="center" shrinkToFit="0" vertical="center" wrapText="1"/>
    </xf>
    <xf borderId="7" fillId="18" fontId="10" numFmtId="0" xfId="0" applyAlignment="1" applyBorder="1" applyFont="1">
      <alignment horizontal="center" shrinkToFit="0" vertical="center" wrapText="1"/>
    </xf>
    <xf borderId="7" fillId="18" fontId="8" numFmtId="0" xfId="0" applyAlignment="1" applyBorder="1" applyFont="1">
      <alignment horizontal="left" shrinkToFit="0" vertical="center" wrapText="1"/>
    </xf>
    <xf borderId="7" fillId="19" fontId="8" numFmtId="0" xfId="0" applyAlignment="1" applyBorder="1" applyFill="1" applyFont="1">
      <alignment horizontal="center" shrinkToFit="0" vertical="center" wrapText="1"/>
    </xf>
    <xf borderId="7" fillId="19" fontId="10" numFmtId="0" xfId="0" applyAlignment="1" applyBorder="1" applyFont="1">
      <alignment horizontal="center" shrinkToFit="0" vertical="center" wrapText="1"/>
    </xf>
    <xf borderId="7" fillId="19" fontId="8" numFmtId="0" xfId="0" applyAlignment="1" applyBorder="1" applyFont="1">
      <alignment horizontal="left" shrinkToFit="0" vertical="center" wrapText="1"/>
    </xf>
    <xf borderId="4" fillId="7" fontId="15" numFmtId="0" xfId="0" applyAlignment="1" applyBorder="1" applyFont="1">
      <alignment horizontal="center" vertical="center"/>
    </xf>
    <xf borderId="7" fillId="17" fontId="8" numFmtId="0" xfId="0" applyAlignment="1" applyBorder="1" applyFont="1">
      <alignment horizontal="center" vertical="center"/>
    </xf>
    <xf borderId="7" fillId="17" fontId="10" numFmtId="0" xfId="0" applyAlignment="1" applyBorder="1" applyFont="1">
      <alignment horizontal="center" vertical="center"/>
    </xf>
    <xf borderId="7" fillId="20" fontId="8" numFmtId="0" xfId="0" applyAlignment="1" applyBorder="1" applyFill="1" applyFont="1">
      <alignment horizontal="center" vertical="center"/>
    </xf>
    <xf borderId="7" fillId="20" fontId="10" numFmtId="0" xfId="0" applyAlignment="1" applyBorder="1" applyFont="1">
      <alignment horizontal="center" vertical="center"/>
    </xf>
    <xf borderId="7" fillId="18" fontId="8" numFmtId="0" xfId="0" applyAlignment="1" applyBorder="1" applyFont="1">
      <alignment horizontal="center" vertical="center"/>
    </xf>
    <xf borderId="7" fillId="18" fontId="10" numFmtId="0" xfId="0" applyAlignment="1" applyBorder="1" applyFont="1">
      <alignment horizontal="center" vertical="center"/>
    </xf>
    <xf borderId="7" fillId="19" fontId="8" numFmtId="0" xfId="0" applyAlignment="1" applyBorder="1" applyFont="1">
      <alignment horizontal="center" vertical="center"/>
    </xf>
    <xf borderId="7" fillId="19" fontId="10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12.0"/>
    <col customWidth="1" min="3" max="4" width="16.0"/>
    <col customWidth="1" min="5" max="5" width="28.0"/>
    <col customWidth="1" min="6" max="26" width="8.71"/>
  </cols>
  <sheetData>
    <row r="1" ht="36.0" customHeight="1">
      <c r="A1" s="1" t="s">
        <v>0</v>
      </c>
      <c r="B1" s="2"/>
      <c r="C1" s="2"/>
      <c r="D1" s="2"/>
      <c r="E1" s="3"/>
    </row>
    <row r="2" ht="18.0" customHeight="1">
      <c r="A2" s="4" t="s">
        <v>1</v>
      </c>
      <c r="B2" s="2"/>
      <c r="C2" s="2"/>
      <c r="D2" s="2"/>
      <c r="E2" s="3"/>
    </row>
    <row r="3" ht="14.25" customHeight="1"/>
    <row r="4" ht="21.75" customHeight="1">
      <c r="A4" s="5" t="s">
        <v>2</v>
      </c>
      <c r="B4" s="6"/>
      <c r="C4" s="6"/>
      <c r="D4" s="6"/>
      <c r="E4" s="7"/>
    </row>
    <row r="5" ht="18.0" customHeight="1">
      <c r="A5" s="8" t="s">
        <v>3</v>
      </c>
      <c r="B5" s="9"/>
      <c r="C5" s="6"/>
      <c r="D5" s="6"/>
      <c r="E5" s="7"/>
    </row>
    <row r="6" ht="18.0" customHeight="1">
      <c r="A6" s="8" t="s">
        <v>4</v>
      </c>
      <c r="B6" s="9"/>
      <c r="C6" s="6"/>
      <c r="D6" s="6"/>
      <c r="E6" s="7"/>
    </row>
    <row r="7" ht="18.0" customHeight="1">
      <c r="A7" s="8" t="s">
        <v>5</v>
      </c>
      <c r="B7" s="9"/>
      <c r="C7" s="6"/>
      <c r="D7" s="6"/>
      <c r="E7" s="7"/>
    </row>
    <row r="8" ht="18.0" customHeight="1">
      <c r="A8" s="8" t="s">
        <v>6</v>
      </c>
      <c r="B8" s="9"/>
      <c r="C8" s="6"/>
      <c r="D8" s="6"/>
      <c r="E8" s="7"/>
    </row>
    <row r="9" ht="18.0" customHeight="1">
      <c r="A9" s="8" t="s">
        <v>7</v>
      </c>
      <c r="B9" s="9"/>
      <c r="C9" s="6"/>
      <c r="D9" s="6"/>
      <c r="E9" s="7"/>
    </row>
    <row r="10" ht="18.0" customHeight="1">
      <c r="A10" s="8" t="s">
        <v>8</v>
      </c>
      <c r="B10" s="9"/>
      <c r="C10" s="6"/>
      <c r="D10" s="6"/>
      <c r="E10" s="7"/>
    </row>
    <row r="11" ht="14.25" customHeight="1"/>
    <row r="12" ht="7.5" customHeight="1"/>
    <row r="13" ht="21.75" customHeight="1">
      <c r="A13" s="10" t="s">
        <v>9</v>
      </c>
      <c r="B13" s="6"/>
      <c r="C13" s="6"/>
      <c r="D13" s="6"/>
      <c r="E13" s="7"/>
    </row>
    <row r="14" ht="14.25" customHeight="1">
      <c r="A14" s="11" t="s">
        <v>10</v>
      </c>
      <c r="B14" s="11" t="s">
        <v>11</v>
      </c>
      <c r="C14" s="11" t="s">
        <v>12</v>
      </c>
      <c r="D14" s="11" t="s">
        <v>13</v>
      </c>
      <c r="E14" s="11" t="s">
        <v>14</v>
      </c>
    </row>
    <row r="15" ht="27.0" customHeight="1">
      <c r="A15" s="8" t="s">
        <v>15</v>
      </c>
      <c r="B15" s="12">
        <v>0.1</v>
      </c>
      <c r="C15" s="13">
        <v>8.0</v>
      </c>
      <c r="D15" s="14">
        <f>B15*C15</f>
        <v>0.8</v>
      </c>
      <c r="E15" s="15"/>
    </row>
    <row r="16" ht="19.5" customHeight="1">
      <c r="A16" s="16" t="s">
        <v>16</v>
      </c>
      <c r="B16" s="17"/>
      <c r="C16" s="17"/>
      <c r="D16" s="18">
        <f>D15</f>
        <v>0.8</v>
      </c>
      <c r="E16" s="17"/>
    </row>
    <row r="17" ht="7.5" customHeight="1"/>
    <row r="18" ht="21.75" customHeight="1">
      <c r="A18" s="5" t="s">
        <v>17</v>
      </c>
      <c r="B18" s="6"/>
      <c r="C18" s="6"/>
      <c r="D18" s="6"/>
      <c r="E18" s="7"/>
    </row>
    <row r="19" ht="14.25" customHeight="1">
      <c r="A19" s="11" t="s">
        <v>18</v>
      </c>
      <c r="B19" s="11" t="s">
        <v>11</v>
      </c>
      <c r="C19" s="11" t="s">
        <v>12</v>
      </c>
      <c r="D19" s="11" t="s">
        <v>13</v>
      </c>
      <c r="E19" s="11" t="s">
        <v>14</v>
      </c>
    </row>
    <row r="20" ht="18.0" customHeight="1">
      <c r="A20" s="8" t="s">
        <v>19</v>
      </c>
      <c r="B20" s="12">
        <v>0.05</v>
      </c>
      <c r="C20" s="13">
        <v>9.0</v>
      </c>
      <c r="D20" s="14">
        <f t="shared" ref="D20:D23" si="1">B20*C20</f>
        <v>0.45</v>
      </c>
      <c r="E20" s="15"/>
    </row>
    <row r="21" ht="18.0" customHeight="1">
      <c r="A21" s="8" t="s">
        <v>20</v>
      </c>
      <c r="B21" s="12">
        <v>0.05</v>
      </c>
      <c r="C21" s="13">
        <v>9.0</v>
      </c>
      <c r="D21" s="14">
        <f t="shared" si="1"/>
        <v>0.45</v>
      </c>
      <c r="E21" s="15"/>
    </row>
    <row r="22" ht="18.0" customHeight="1">
      <c r="A22" s="8" t="s">
        <v>21</v>
      </c>
      <c r="B22" s="12">
        <v>0.05</v>
      </c>
      <c r="C22" s="13">
        <v>9.0</v>
      </c>
      <c r="D22" s="14">
        <f t="shared" si="1"/>
        <v>0.45</v>
      </c>
      <c r="E22" s="15"/>
    </row>
    <row r="23" ht="18.0" customHeight="1">
      <c r="A23" s="19" t="s">
        <v>22</v>
      </c>
      <c r="B23" s="12">
        <v>0.05</v>
      </c>
      <c r="C23" s="13">
        <v>9.0</v>
      </c>
      <c r="D23" s="14">
        <f t="shared" si="1"/>
        <v>0.45</v>
      </c>
      <c r="E23" s="15"/>
    </row>
    <row r="24" ht="18.0" customHeight="1">
      <c r="A24" s="16" t="s">
        <v>23</v>
      </c>
      <c r="B24" s="17"/>
      <c r="C24" s="17"/>
      <c r="D24" s="18">
        <f>SUM(D20:D23)</f>
        <v>1.8</v>
      </c>
      <c r="E24" s="17"/>
    </row>
    <row r="25" ht="7.5" customHeight="1"/>
    <row r="26" ht="21.75" customHeight="1">
      <c r="A26" s="10" t="s">
        <v>24</v>
      </c>
      <c r="B26" s="6"/>
      <c r="C26" s="6"/>
      <c r="D26" s="6"/>
      <c r="E26" s="7"/>
    </row>
    <row r="27" ht="14.25" customHeight="1">
      <c r="A27" s="11" t="s">
        <v>18</v>
      </c>
      <c r="B27" s="11" t="s">
        <v>11</v>
      </c>
      <c r="C27" s="11" t="s">
        <v>12</v>
      </c>
      <c r="D27" s="11" t="s">
        <v>13</v>
      </c>
      <c r="E27" s="11" t="s">
        <v>14</v>
      </c>
    </row>
    <row r="28" ht="25.5" customHeight="1">
      <c r="A28" s="8" t="s">
        <v>25</v>
      </c>
      <c r="B28" s="12">
        <v>0.05</v>
      </c>
      <c r="C28" s="13">
        <v>8.0</v>
      </c>
      <c r="D28" s="14">
        <f t="shared" ref="D28:D30" si="2">B28*C28</f>
        <v>0.4</v>
      </c>
      <c r="E28" s="15"/>
    </row>
    <row r="29" ht="18.0" customHeight="1">
      <c r="A29" s="8" t="s">
        <v>26</v>
      </c>
      <c r="B29" s="12">
        <v>0.05</v>
      </c>
      <c r="C29" s="13">
        <v>9.0</v>
      </c>
      <c r="D29" s="14">
        <f t="shared" si="2"/>
        <v>0.45</v>
      </c>
      <c r="E29" s="15"/>
    </row>
    <row r="30" ht="18.0" customHeight="1">
      <c r="A30" s="8" t="s">
        <v>27</v>
      </c>
      <c r="B30" s="12">
        <v>0.05</v>
      </c>
      <c r="C30" s="13">
        <v>8.0</v>
      </c>
      <c r="D30" s="14">
        <f t="shared" si="2"/>
        <v>0.4</v>
      </c>
      <c r="E30" s="15"/>
    </row>
    <row r="31" ht="18.0" customHeight="1">
      <c r="A31" s="16" t="s">
        <v>23</v>
      </c>
      <c r="B31" s="17"/>
      <c r="C31" s="17"/>
      <c r="D31" s="18">
        <f>SUM(D28:D30)</f>
        <v>1.25</v>
      </c>
      <c r="E31" s="17"/>
    </row>
    <row r="32" ht="7.5" customHeight="1"/>
    <row r="33" ht="21.75" customHeight="1">
      <c r="A33" s="5" t="s">
        <v>28</v>
      </c>
      <c r="B33" s="6"/>
      <c r="C33" s="6"/>
      <c r="D33" s="6"/>
      <c r="E33" s="7"/>
    </row>
    <row r="34" ht="14.25" customHeight="1">
      <c r="A34" s="11" t="s">
        <v>18</v>
      </c>
      <c r="B34" s="11" t="s">
        <v>11</v>
      </c>
      <c r="C34" s="11" t="s">
        <v>12</v>
      </c>
      <c r="D34" s="11" t="s">
        <v>13</v>
      </c>
      <c r="E34" s="11" t="s">
        <v>14</v>
      </c>
    </row>
    <row r="35" ht="18.0" customHeight="1">
      <c r="A35" s="8" t="s">
        <v>29</v>
      </c>
      <c r="B35" s="12">
        <v>0.05</v>
      </c>
      <c r="C35" s="13">
        <v>7.0</v>
      </c>
      <c r="D35" s="14">
        <f t="shared" ref="D35:D37" si="3">B35*C35</f>
        <v>0.35</v>
      </c>
      <c r="E35" s="15"/>
    </row>
    <row r="36" ht="18.0" customHeight="1">
      <c r="A36" s="8" t="s">
        <v>30</v>
      </c>
      <c r="B36" s="12">
        <v>0.05</v>
      </c>
      <c r="C36" s="13">
        <v>6.0</v>
      </c>
      <c r="D36" s="14">
        <f t="shared" si="3"/>
        <v>0.3</v>
      </c>
      <c r="E36" s="15"/>
    </row>
    <row r="37" ht="18.0" customHeight="1">
      <c r="A37" s="8" t="s">
        <v>31</v>
      </c>
      <c r="B37" s="12">
        <v>0.05</v>
      </c>
      <c r="C37" s="13">
        <v>8.0</v>
      </c>
      <c r="D37" s="14">
        <f t="shared" si="3"/>
        <v>0.4</v>
      </c>
      <c r="E37" s="15"/>
    </row>
    <row r="38" ht="18.0" customHeight="1">
      <c r="A38" s="16" t="s">
        <v>23</v>
      </c>
      <c r="B38" s="17"/>
      <c r="C38" s="17"/>
      <c r="D38" s="18">
        <f>SUM(D35:D37)</f>
        <v>1.05</v>
      </c>
      <c r="E38" s="17"/>
    </row>
    <row r="39" ht="7.5" customHeight="1"/>
    <row r="40" ht="21.75" customHeight="1">
      <c r="A40" s="10" t="s">
        <v>32</v>
      </c>
      <c r="B40" s="6"/>
      <c r="C40" s="6"/>
      <c r="D40" s="6"/>
      <c r="E40" s="7"/>
    </row>
    <row r="41" ht="14.25" customHeight="1">
      <c r="A41" s="11" t="s">
        <v>18</v>
      </c>
      <c r="B41" s="11" t="s">
        <v>11</v>
      </c>
      <c r="C41" s="11" t="s">
        <v>12</v>
      </c>
      <c r="D41" s="11" t="s">
        <v>13</v>
      </c>
      <c r="E41" s="11" t="s">
        <v>14</v>
      </c>
    </row>
    <row r="42" ht="18.0" customHeight="1">
      <c r="A42" s="8" t="s">
        <v>33</v>
      </c>
      <c r="B42" s="12">
        <v>0.05</v>
      </c>
      <c r="C42" s="13">
        <v>4.0</v>
      </c>
      <c r="D42" s="14">
        <f t="shared" ref="D42:D43" si="4">B42*C42</f>
        <v>0.2</v>
      </c>
      <c r="E42" s="15"/>
    </row>
    <row r="43" ht="18.0" customHeight="1">
      <c r="A43" s="8" t="s">
        <v>34</v>
      </c>
      <c r="B43" s="12">
        <v>0.05</v>
      </c>
      <c r="C43" s="13">
        <v>8.0</v>
      </c>
      <c r="D43" s="14">
        <f t="shared" si="4"/>
        <v>0.4</v>
      </c>
      <c r="E43" s="15"/>
    </row>
    <row r="44" ht="18.0" customHeight="1">
      <c r="A44" s="16" t="s">
        <v>23</v>
      </c>
      <c r="B44" s="17"/>
      <c r="C44" s="17"/>
      <c r="D44" s="18">
        <f>SUM(D42:D43)</f>
        <v>0.6</v>
      </c>
      <c r="E44" s="17"/>
    </row>
    <row r="45" ht="7.5" customHeight="1"/>
    <row r="46" ht="27.75" customHeight="1">
      <c r="A46" s="20" t="s">
        <v>35</v>
      </c>
      <c r="B46" s="6"/>
      <c r="C46" s="6"/>
      <c r="D46" s="6"/>
      <c r="E46" s="7"/>
    </row>
    <row r="47" ht="24.0" customHeight="1">
      <c r="A47" s="21" t="s">
        <v>36</v>
      </c>
      <c r="B47" s="22"/>
      <c r="C47" s="22"/>
      <c r="D47" s="23">
        <f>SUM(D16,D24,D31,D38,D44)</f>
        <v>5.5</v>
      </c>
      <c r="E47" s="22"/>
    </row>
    <row r="48" ht="24.0" customHeight="1">
      <c r="A48" s="21" t="s">
        <v>37</v>
      </c>
      <c r="B48" s="22"/>
      <c r="C48" s="22"/>
      <c r="D48" s="24">
        <f>D47*10</f>
        <v>55</v>
      </c>
      <c r="E48" s="22"/>
    </row>
    <row r="49" ht="24.0" customHeight="1">
      <c r="A49" s="25" t="s">
        <v>38</v>
      </c>
      <c r="B49" s="26"/>
      <c r="C49" s="26"/>
      <c r="D49" s="27" t="str">
        <f>IF(D48&gt;=85,"⭐ Star Performer",IF(D48&gt;=70,"✅ Strong Performer",IF(D48&gt;=55,"📈 Developing","⚠️ At Risk")))</f>
        <v>📈 Developing</v>
      </c>
      <c r="E49" s="26"/>
    </row>
    <row r="50" ht="24.0" customHeight="1">
      <c r="A50" s="28" t="s">
        <v>39</v>
      </c>
      <c r="B50" s="29"/>
      <c r="C50" s="29"/>
      <c r="D50" s="30" t="str">
        <f>IF(D48&gt;=85,"20–30%",IF(D48&gt;=70,"12–18%",IF(D48&gt;=55,"5–8%","0–3% or No Increase")))</f>
        <v>5–8%</v>
      </c>
      <c r="E50" s="29"/>
    </row>
    <row r="51" ht="7.5" customHeight="1"/>
    <row r="52" ht="21.75" customHeight="1">
      <c r="A52" s="5" t="s">
        <v>40</v>
      </c>
      <c r="B52" s="6"/>
      <c r="C52" s="6"/>
      <c r="D52" s="6"/>
      <c r="E52" s="7"/>
    </row>
    <row r="53" ht="39.75" customHeight="1">
      <c r="A53" s="31" t="s">
        <v>41</v>
      </c>
      <c r="B53" s="32"/>
      <c r="C53" s="6"/>
      <c r="D53" s="6"/>
      <c r="E53" s="7"/>
    </row>
    <row r="54" ht="39.75" customHeight="1">
      <c r="A54" s="31" t="s">
        <v>42</v>
      </c>
      <c r="B54" s="32"/>
      <c r="C54" s="6"/>
      <c r="D54" s="6"/>
      <c r="E54" s="7"/>
    </row>
    <row r="55" ht="39.75" customHeight="1">
      <c r="A55" s="31" t="s">
        <v>43</v>
      </c>
      <c r="B55" s="32"/>
      <c r="C55" s="6"/>
      <c r="D55" s="6"/>
      <c r="E55" s="7"/>
    </row>
    <row r="56" ht="14.25" customHeight="1"/>
    <row r="57" ht="21.75" customHeight="1">
      <c r="A57" s="10" t="s">
        <v>44</v>
      </c>
      <c r="B57" s="6"/>
      <c r="C57" s="6"/>
      <c r="D57" s="6"/>
      <c r="E57" s="7"/>
    </row>
    <row r="58" ht="39.75" customHeight="1">
      <c r="A58" s="31" t="s">
        <v>45</v>
      </c>
      <c r="B58" s="32"/>
      <c r="C58" s="6"/>
      <c r="D58" s="6"/>
      <c r="E58" s="7"/>
    </row>
    <row r="59" ht="39.75" customHeight="1">
      <c r="A59" s="31" t="s">
        <v>46</v>
      </c>
      <c r="B59" s="32"/>
      <c r="C59" s="6"/>
      <c r="D59" s="6"/>
      <c r="E59" s="7"/>
    </row>
    <row r="60" ht="14.25" customHeight="1"/>
    <row r="61" ht="21.75" customHeight="1">
      <c r="A61" s="33" t="s">
        <v>47</v>
      </c>
      <c r="B61" s="6"/>
      <c r="C61" s="6"/>
      <c r="D61" s="6"/>
      <c r="E61" s="7"/>
    </row>
    <row r="62" ht="27.75" customHeight="1">
      <c r="A62" s="31" t="s">
        <v>48</v>
      </c>
      <c r="B62" s="34"/>
      <c r="C62" s="6"/>
      <c r="D62" s="6"/>
      <c r="E62" s="7"/>
    </row>
    <row r="63" ht="27.75" customHeight="1">
      <c r="A63" s="31" t="s">
        <v>49</v>
      </c>
      <c r="B63" s="34"/>
      <c r="C63" s="6"/>
      <c r="D63" s="6"/>
      <c r="E63" s="7"/>
    </row>
    <row r="64" ht="27.75" customHeight="1">
      <c r="A64" s="31" t="s">
        <v>50</v>
      </c>
      <c r="B64" s="34"/>
      <c r="C64" s="6"/>
      <c r="D64" s="6"/>
      <c r="E64" s="7"/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6">
    <mergeCell ref="A1:E1"/>
    <mergeCell ref="A2:E2"/>
    <mergeCell ref="A4:E4"/>
    <mergeCell ref="B5:E5"/>
    <mergeCell ref="B6:E6"/>
    <mergeCell ref="B7:E7"/>
    <mergeCell ref="B8:E8"/>
    <mergeCell ref="B9:E9"/>
    <mergeCell ref="B10:E10"/>
    <mergeCell ref="A13:E13"/>
    <mergeCell ref="A18:E18"/>
    <mergeCell ref="A26:E26"/>
    <mergeCell ref="A33:E33"/>
    <mergeCell ref="A40:E40"/>
    <mergeCell ref="B59:E59"/>
    <mergeCell ref="A61:E61"/>
    <mergeCell ref="B62:E62"/>
    <mergeCell ref="B63:E63"/>
    <mergeCell ref="B64:E64"/>
    <mergeCell ref="A46:E46"/>
    <mergeCell ref="A52:E52"/>
    <mergeCell ref="B53:E53"/>
    <mergeCell ref="B54:E54"/>
    <mergeCell ref="B55:E55"/>
    <mergeCell ref="A57:E57"/>
    <mergeCell ref="B58:E5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22.0"/>
    <col customWidth="1" min="3" max="3" width="50.0"/>
    <col customWidth="1" min="4" max="26" width="8.71"/>
  </cols>
  <sheetData>
    <row r="1" ht="31.5" customHeight="1">
      <c r="A1" s="35" t="s">
        <v>51</v>
      </c>
      <c r="B1" s="2"/>
      <c r="C1" s="3"/>
    </row>
    <row r="2" ht="14.25" customHeight="1">
      <c r="A2" s="11" t="s">
        <v>52</v>
      </c>
      <c r="B2" s="11" t="s">
        <v>53</v>
      </c>
      <c r="C2" s="11" t="s">
        <v>54</v>
      </c>
    </row>
    <row r="3" ht="27.75" customHeight="1">
      <c r="A3" s="36" t="s">
        <v>55</v>
      </c>
      <c r="B3" s="37" t="s">
        <v>56</v>
      </c>
      <c r="C3" s="38" t="s">
        <v>57</v>
      </c>
    </row>
    <row r="4" ht="27.75" customHeight="1">
      <c r="A4" s="39" t="s">
        <v>58</v>
      </c>
      <c r="B4" s="40" t="s">
        <v>59</v>
      </c>
      <c r="C4" s="41" t="s">
        <v>60</v>
      </c>
    </row>
    <row r="5" ht="27.75" customHeight="1">
      <c r="A5" s="42" t="s">
        <v>61</v>
      </c>
      <c r="B5" s="43" t="s">
        <v>62</v>
      </c>
      <c r="C5" s="44" t="s">
        <v>63</v>
      </c>
    </row>
    <row r="6" ht="27.75" customHeight="1">
      <c r="A6" s="45" t="s">
        <v>64</v>
      </c>
      <c r="B6" s="46" t="s">
        <v>65</v>
      </c>
      <c r="C6" s="47" t="s">
        <v>66</v>
      </c>
    </row>
    <row r="7" ht="27.75" customHeight="1">
      <c r="A7" s="48" t="s">
        <v>67</v>
      </c>
      <c r="B7" s="49" t="s">
        <v>68</v>
      </c>
      <c r="C7" s="50" t="s">
        <v>69</v>
      </c>
    </row>
    <row r="8" ht="14.25" customHeight="1"/>
    <row r="9" ht="7.5" customHeight="1"/>
    <row r="10" ht="24.0" customHeight="1">
      <c r="A10" s="51" t="s">
        <v>70</v>
      </c>
      <c r="B10" s="6"/>
      <c r="C10" s="7"/>
    </row>
    <row r="11" ht="14.25" customHeight="1">
      <c r="A11" s="11" t="s">
        <v>71</v>
      </c>
      <c r="B11" s="11" t="s">
        <v>72</v>
      </c>
      <c r="C11" s="11" t="s">
        <v>73</v>
      </c>
    </row>
    <row r="12" ht="21.75" customHeight="1">
      <c r="A12" s="52" t="s">
        <v>74</v>
      </c>
      <c r="B12" s="53" t="s">
        <v>75</v>
      </c>
      <c r="C12" s="52"/>
    </row>
    <row r="13" ht="21.75" customHeight="1">
      <c r="A13" s="54" t="s">
        <v>76</v>
      </c>
      <c r="B13" s="55" t="s">
        <v>77</v>
      </c>
      <c r="C13" s="54"/>
    </row>
    <row r="14" ht="21.75" customHeight="1">
      <c r="A14" s="56" t="s">
        <v>78</v>
      </c>
      <c r="B14" s="57" t="s">
        <v>79</v>
      </c>
      <c r="C14" s="56"/>
    </row>
    <row r="15" ht="21.75" customHeight="1">
      <c r="A15" s="58" t="s">
        <v>80</v>
      </c>
      <c r="B15" s="59" t="s">
        <v>81</v>
      </c>
      <c r="C15" s="58"/>
    </row>
    <row r="16" ht="7.5" customHeight="1"/>
    <row r="17" ht="7.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C1"/>
    <mergeCell ref="A10:C10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2026-03-12T04:56:51Z</dcterms:created>
  <dc:creator>openpyxl</dc:creator>
</cp:coreProperties>
</file>